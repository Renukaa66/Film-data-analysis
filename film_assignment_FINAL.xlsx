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ms_csv" sheetId="1" state="visible" r:id="rId3"/>
    <sheet name="reviews_csv" sheetId="2" state="visible" r:id="rId4"/>
    <sheet name="Box Office Summary" sheetId="3" state="visible" r:id="rId5"/>
    <sheet name="Genre Analysis" sheetId="4" state="visible" r:id="rId6"/>
    <sheet name="Merged Analysis" sheetId="5" state="visible" r:id="rId7"/>
    <sheet name="Film Report 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<sst xmlns="http://schemas.openxmlformats.org/spreadsheetml/2006/main" count="197" uniqueCount="104">
  <si>
    <t xml:space="preserve">DATA SOURCE 1 — films.csv  (CSV File 1 Loaded)</t>
  </si>
  <si>
    <t xml:space="preserve">Film ID</t>
  </si>
  <si>
    <t xml:space="preserve">Title</t>
  </si>
  <si>
    <t xml:space="preserve">Year</t>
  </si>
  <si>
    <t xml:space="preserve">Genre</t>
  </si>
  <si>
    <t xml:space="preserve">Director</t>
  </si>
  <si>
    <t xml:space="preserve">IMDb Rating</t>
  </si>
  <si>
    <t xml:space="preserve">Budget ($M)</t>
  </si>
  <si>
    <t xml:space="preserve">Box Office ($M)</t>
  </si>
  <si>
    <t xml:space="preserve">The Dark Knight</t>
  </si>
  <si>
    <t xml:space="preserve">Action</t>
  </si>
  <si>
    <t xml:space="preserve">Christopher Nolan</t>
  </si>
  <si>
    <t xml:space="preserve">Inception</t>
  </si>
  <si>
    <t xml:space="preserve">Sci-Fi</t>
  </si>
  <si>
    <t xml:space="preserve">Parasite</t>
  </si>
  <si>
    <t xml:space="preserve">Thriller</t>
  </si>
  <si>
    <t xml:space="preserve">Bong Joon-ho</t>
  </si>
  <si>
    <t xml:space="preserve">Avengers Endgame</t>
  </si>
  <si>
    <t xml:space="preserve">Anthony Russo</t>
  </si>
  <si>
    <t xml:space="preserve">The Godfather</t>
  </si>
  <si>
    <t xml:space="preserve">Crime</t>
  </si>
  <si>
    <t xml:space="preserve">Francis Ford Coppola</t>
  </si>
  <si>
    <t xml:space="preserve">Interstellar</t>
  </si>
  <si>
    <t xml:space="preserve">Joker</t>
  </si>
  <si>
    <t xml:space="preserve">Drama</t>
  </si>
  <si>
    <t xml:space="preserve">Todd Phillips</t>
  </si>
  <si>
    <t xml:space="preserve">Black Panther</t>
  </si>
  <si>
    <t xml:space="preserve">Ryan Coogler</t>
  </si>
  <si>
    <t xml:space="preserve">Get Out</t>
  </si>
  <si>
    <t xml:space="preserve">Horror</t>
  </si>
  <si>
    <t xml:space="preserve">Jordan Peele</t>
  </si>
  <si>
    <t xml:space="preserve">Mad Max: Fury Road</t>
  </si>
  <si>
    <t xml:space="preserve">George Miller</t>
  </si>
  <si>
    <t xml:space="preserve">DATA SOURCE 2 — reviews.csv  (CSV File 2 Loaded)</t>
  </si>
  <si>
    <t xml:space="preserve">Review ID</t>
  </si>
  <si>
    <t xml:space="preserve">Reviewer</t>
  </si>
  <si>
    <t xml:space="preserve">Platform</t>
  </si>
  <si>
    <t xml:space="preserve">Score</t>
  </si>
  <si>
    <t xml:space="preserve">Year Reviewed</t>
  </si>
  <si>
    <t xml:space="preserve">John Smith</t>
  </si>
  <si>
    <t xml:space="preserve">Rotten Tomatoes</t>
  </si>
  <si>
    <t xml:space="preserve">Jane Doe</t>
  </si>
  <si>
    <t xml:space="preserve">IMDb</t>
  </si>
  <si>
    <t xml:space="preserve">Alice Brown</t>
  </si>
  <si>
    <t xml:space="preserve">Metacritic</t>
  </si>
  <si>
    <t xml:space="preserve">Bob Wilson</t>
  </si>
  <si>
    <t xml:space="preserve">Chris Lee</t>
  </si>
  <si>
    <t xml:space="preserve">Diana Prince</t>
  </si>
  <si>
    <t xml:space="preserve">Eve Adams</t>
  </si>
  <si>
    <t xml:space="preserve">Frank Castle</t>
  </si>
  <si>
    <t xml:space="preserve">Grace Kelly</t>
  </si>
  <si>
    <t xml:space="preserve">Henry James</t>
  </si>
  <si>
    <t xml:space="preserve">Iris West</t>
  </si>
  <si>
    <t xml:space="preserve">Jack Ryan</t>
  </si>
  <si>
    <t xml:space="preserve">Karen Page</t>
  </si>
  <si>
    <t xml:space="preserve">Liam Neeson</t>
  </si>
  <si>
    <t xml:space="preserve">EXCEL WORKBOOK — Sheet 1: Box Office Summary</t>
  </si>
  <si>
    <t xml:space="preserve">Film</t>
  </si>
  <si>
    <t xml:space="preserve">Profit ($M)</t>
  </si>
  <si>
    <t xml:space="preserve">ROI (%)</t>
  </si>
  <si>
    <t xml:space="preserve">TOTALS / AVERAGES</t>
  </si>
  <si>
    <t xml:space="preserve">EXCEL WORKBOOK — Sheet 2: Genre Analysis</t>
  </si>
  <si>
    <t xml:space="preserve">Film Count</t>
  </si>
  <si>
    <t xml:space="preserve">Avg IMDb Rating</t>
  </si>
  <si>
    <t xml:space="preserve">Total Box Office ($M)</t>
  </si>
  <si>
    <t xml:space="preserve">% of Total</t>
  </si>
  <si>
    <t xml:space="preserve">MERGED ANALYSIS — films.csv + reviews.csv + Excel Workbook  (VLOOKUP / AVERAGEIF)</t>
  </si>
  <si>
    <t xml:space="preserve">Avg Review Score</t>
  </si>
  <si>
    <t xml:space="preserve">FILM DATA ANALYSIS — FINAL REPORT DASHBOARD</t>
  </si>
  <si>
    <t xml:space="preserve">Data Sources:  films.csv  |  reviews.csv  |  Excel Workbook: Box Office Summary + Genre Analysis</t>
  </si>
  <si>
    <t xml:space="preserve">Total Films</t>
  </si>
  <si>
    <t xml:space="preserve">Top Rating</t>
  </si>
  <si>
    <t xml:space="preserve">Top Box Office</t>
  </si>
  <si>
    <t xml:space="preserve">Best ROI</t>
  </si>
  <si>
    <t xml:space="preserve">Reviews Loaded</t>
  </si>
  <si>
    <t xml:space="preserve">Genres</t>
  </si>
  <si>
    <t xml:space="preserve">10</t>
  </si>
  <si>
    <t xml:space="preserve">9.2/10</t>
  </si>
  <si>
    <t xml:space="preserve">$2,798M</t>
  </si>
  <si>
    <t xml:space="preserve">5,467%</t>
  </si>
  <si>
    <t xml:space="preserve">14</t>
  </si>
  <si>
    <t xml:space="preserve">6</t>
  </si>
  <si>
    <t xml:space="preserve">TOP FILMS — RANKED BY BOX OFFICE</t>
  </si>
  <si>
    <t xml:space="preserve">GENRE BREAKDOWN</t>
  </si>
  <si>
    <t xml:space="preserve">Rank</t>
  </si>
  <si>
    <t xml:space="preserve">ROI %</t>
  </si>
  <si>
    <t xml:space="preserve">Films</t>
  </si>
  <si>
    <t xml:space="preserve">Avg Rating</t>
  </si>
  <si>
    <t xml:space="preserve">% Share</t>
  </si>
  <si>
    <t xml:space="preserve">685%</t>
  </si>
  <si>
    <t xml:space="preserve">56.3%</t>
  </si>
  <si>
    <t xml:space="preserve">574%</t>
  </si>
  <si>
    <t xml:space="preserve">15.7%</t>
  </si>
  <si>
    <t xml:space="preserve">1862%</t>
  </si>
  <si>
    <t xml:space="preserve">11.0%</t>
  </si>
  <si>
    <t xml:space="preserve">443%</t>
  </si>
  <si>
    <t xml:space="preserve">2.6%</t>
  </si>
  <si>
    <t xml:space="preserve">423%</t>
  </si>
  <si>
    <t xml:space="preserve">325%</t>
  </si>
  <si>
    <t xml:space="preserve">2.5%</t>
  </si>
  <si>
    <t xml:space="preserve">149%</t>
  </si>
  <si>
    <t xml:space="preserve">2163%</t>
  </si>
  <si>
    <t xml:space="preserve">5567%</t>
  </si>
  <si>
    <t xml:space="preserve">3983%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</si>
</sst>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.0"/>
    <numFmt numFmtId="167" formatCode="#,##0"/>
    <numFmt numFmtId="168" formatCode="General"/>
    <numFmt numFmtId="169" formatCode="0.0"/>
    <numFmt numFmtId="170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565C0"/>
      <name val="Arial"/>
      <family val="0"/>
      <charset val="1"/>
    </font>
    <font>
      <b val="true"/>
      <sz val="16"/>
      <color rgb="FF6A1B9A"/>
      <name val="Arial"/>
      <family val="0"/>
      <charset val="1"/>
    </font>
    <font>
      <b val="true"/>
      <sz val="16"/>
      <color rgb="FF00695C"/>
      <name val="Arial"/>
      <family val="0"/>
      <charset val="1"/>
    </font>
    <font>
      <b val="true"/>
      <sz val="16"/>
      <color rgb="FFE65100"/>
      <name val="Arial"/>
      <family val="0"/>
      <charset val="1"/>
    </font>
    <font>
      <b val="true"/>
      <sz val="16"/>
      <color rgb="FF880E4F"/>
      <name val="Arial"/>
      <family val="0"/>
      <charset val="1"/>
    </font>
    <font>
      <b val="true"/>
      <sz val="16"/>
      <color rgb="FF01579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1E3A5F"/>
        <bgColor rgb="FF1A5276"/>
      </patternFill>
    </fill>
    <fill>
      <patternFill patternType="solid">
        <fgColor rgb="FF2C5282"/>
        <bgColor rgb="FF1A5276"/>
      </patternFill>
    </fill>
    <fill>
      <patternFill patternType="solid">
        <fgColor rgb="FFEEF4FF"/>
        <bgColor rgb="FFEBF5FB"/>
      </patternFill>
    </fill>
    <fill>
      <patternFill patternType="solid">
        <fgColor rgb="FFFFFFFF"/>
        <bgColor rgb="FFFDFEFE"/>
      </patternFill>
    </fill>
    <fill>
      <patternFill patternType="solid">
        <fgColor rgb="FF4A235A"/>
        <bgColor rgb="FF6B2D8B"/>
      </patternFill>
    </fill>
    <fill>
      <patternFill patternType="solid">
        <fgColor rgb="FF6B2D8B"/>
        <bgColor rgb="FF6A1B9A"/>
      </patternFill>
    </fill>
    <fill>
      <patternFill patternType="solid">
        <fgColor rgb="FF1A5276"/>
        <bgColor rgb="FF2C5282"/>
      </patternFill>
    </fill>
    <fill>
      <patternFill patternType="solid">
        <fgColor rgb="FF145A32"/>
        <bgColor rgb="FF00695C"/>
      </patternFill>
    </fill>
    <fill>
      <patternFill patternType="solid">
        <fgColor rgb="FF1E8449"/>
        <bgColor rgb="FF00695C"/>
      </patternFill>
    </fill>
    <fill>
      <patternFill patternType="solid">
        <fgColor rgb="FFEAFAF1"/>
        <bgColor rgb="FFEBF5FB"/>
      </patternFill>
    </fill>
    <fill>
      <patternFill patternType="solid">
        <fgColor rgb="FF6E2C00"/>
        <bgColor rgb="FF922B21"/>
      </patternFill>
    </fill>
    <fill>
      <patternFill patternType="solid">
        <fgColor rgb="FF922B21"/>
        <bgColor rgb="FF6E2C00"/>
      </patternFill>
    </fill>
    <fill>
      <patternFill patternType="solid">
        <fgColor rgb="FFFEF9F0"/>
        <bgColor rgb="FFF9F9F9"/>
      </patternFill>
    </fill>
    <fill>
      <patternFill patternType="solid">
        <fgColor rgb="FF0A1628"/>
        <bgColor rgb="FF111827"/>
      </patternFill>
    </fill>
    <fill>
      <patternFill patternType="solid">
        <fgColor rgb="FF0D1F3C"/>
        <bgColor rgb="FF111827"/>
      </patternFill>
    </fill>
    <fill>
      <patternFill patternType="solid">
        <fgColor rgb="FF1565C0"/>
        <bgColor rgb="FF01579B"/>
      </patternFill>
    </fill>
    <fill>
      <patternFill patternType="solid">
        <fgColor rgb="FF6A1B9A"/>
        <bgColor rgb="FF6B2D8B"/>
      </patternFill>
    </fill>
    <fill>
      <patternFill patternType="solid">
        <fgColor rgb="FF00695C"/>
        <bgColor rgb="FF145A32"/>
      </patternFill>
    </fill>
    <fill>
      <patternFill patternType="solid">
        <fgColor rgb="FFE65100"/>
        <bgColor rgb="FFC0504D"/>
      </patternFill>
    </fill>
    <fill>
      <patternFill patternType="solid">
        <fgColor rgb="FF880E4F"/>
        <bgColor rgb="FF660066"/>
      </patternFill>
    </fill>
    <fill>
      <patternFill patternType="solid">
        <fgColor rgb="FF01579B"/>
        <bgColor rgb="FF1A5276"/>
      </patternFill>
    </fill>
    <fill>
      <patternFill patternType="solid">
        <fgColor rgb="FF111827"/>
        <bgColor rgb="FF0A1628"/>
      </patternFill>
    </fill>
    <fill>
      <patternFill patternType="solid">
        <fgColor rgb="FFEBF5FB"/>
        <bgColor rgb="FFEEF4FF"/>
      </patternFill>
    </fill>
    <fill>
      <patternFill patternType="solid">
        <fgColor rgb="FFFDFEF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1579B"/>
      <rgbColor rgb="FFFFFF00"/>
      <rgbColor rgb="FFFF00FF"/>
      <rgbColor rgb="FF00FFFF"/>
      <rgbColor rgb="FF6E2C00"/>
      <rgbColor rgb="FF145A32"/>
      <rgbColor rgb="FF0A1628"/>
      <rgbColor rgb="FFC0504D"/>
      <rgbColor rgb="FF880E4F"/>
      <rgbColor rgb="FF00695C"/>
      <rgbColor rgb="FFCCCCCC"/>
      <rgbColor rgb="FF878787"/>
      <rgbColor rgb="FF4F81BD"/>
      <rgbColor rgb="FF8E44AD"/>
      <rgbColor rgb="FFFEF9F0"/>
      <rgbColor rgb="FFEAFAF1"/>
      <rgbColor rgb="FF660066"/>
      <rgbColor rgb="FFF79646"/>
      <rgbColor rgb="FF1565C0"/>
      <rgbColor rgb="FFD9D9D9"/>
      <rgbColor rgb="FF1A5276"/>
      <rgbColor rgb="FFFF00FF"/>
      <rgbColor rgb="FFFFFF00"/>
      <rgbColor rgb="FF00FFFF"/>
      <rgbColor rgb="FF6A1B9A"/>
      <rgbColor rgb="FF800000"/>
      <rgbColor rgb="FF1E8449"/>
      <rgbColor rgb="FF0000FF"/>
      <rgbColor rgb="FF00CCFF"/>
      <rgbColor rgb="FFEBF5FB"/>
      <rgbColor rgb="FFEEF4FF"/>
      <rgbColor rgb="FFF9F9F9"/>
      <rgbColor rgb="FF99CCFF"/>
      <rgbColor rgb="FFFF99CC"/>
      <rgbColor rgb="FFCC99FF"/>
      <rgbColor rgb="FFFDFEFE"/>
      <rgbColor rgb="FF2980B9"/>
      <rgbColor rgb="FF4BACC6"/>
      <rgbColor rgb="FF9BBB59"/>
      <rgbColor rgb="FFFFCC00"/>
      <rgbColor rgb="FFF39C12"/>
      <rgbColor rgb="FFE65100"/>
      <rgbColor rgb="FF8064A2"/>
      <rgbColor rgb="FFAAAAAA"/>
      <rgbColor rgb="FF1E3A5F"/>
      <rgbColor rgb="FF27AE60"/>
      <rgbColor rgb="FF0D1F3C"/>
      <rgbColor rgb="FF111827"/>
      <rgbColor rgb="FF922B21"/>
      <rgbColor rgb="FF6B2D8B"/>
      <rgbColor rgb="FF2C5282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Box Office Revenue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'Box Office Summary'!E2</c:f>
              <c:strCache>
                <c:ptCount val="1"/>
                <c:pt idx="0">
                  <c:v>Box Office ($M)</c:v>
                </c:pt>
              </c:strCache>
            </c:strRef>
          </c:tx>
          <c:spPr>
            <a:solidFill>
              <a:srgbClr val="2980b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'Box Office Summary'!$A$3:$A$12</c:f>
              <c:strCache>
                <c:ptCount val="10"/>
                <c:pt idx="0">
                  <c:v>The Dark Knight</c:v>
                </c:pt>
                <c:pt idx="1">
                  <c:v>Inception</c:v>
                </c:pt>
                <c:pt idx="2">
                  <c:v>Parasite</c:v>
                </c:pt>
                <c:pt idx="3">
                  <c:v>Avengers Endgame</c:v>
                </c:pt>
                <c:pt idx="4">
                  <c:v>The Godfather</c:v>
                </c:pt>
                <c:pt idx="5">
                  <c:v>Interstellar</c:v>
                </c:pt>
                <c:pt idx="6">
                  <c:v>Joker</c:v>
                </c:pt>
                <c:pt idx="7">
                  <c:v>Black Panther</c:v>
                </c:pt>
                <c:pt idx="8">
                  <c:v>Get Out</c:v>
                </c:pt>
                <c:pt idx="9">
                  <c:v>Mad Max: Fury Road</c:v>
                </c:pt>
              </c:strCache>
            </c:strRef>
          </c:cat>
          <c:val>
            <c:numRef>
              <c:f>'Box Office Summary'!$E$3:$E$12</c:f>
              <c:numCache>
                <c:formatCode>General</c:formatCode>
                <c:ptCount val="10"/>
                <c:pt idx="0">
                  <c:v>1005</c:v>
                </c:pt>
                <c:pt idx="1">
                  <c:v>836</c:v>
                </c:pt>
                <c:pt idx="2">
                  <c:v>258</c:v>
                </c:pt>
                <c:pt idx="3">
                  <c:v>2798</c:v>
                </c:pt>
                <c:pt idx="4">
                  <c:v>245</c:v>
                </c:pt>
                <c:pt idx="5">
                  <c:v>701</c:v>
                </c:pt>
                <c:pt idx="6">
                  <c:v>1079</c:v>
                </c:pt>
                <c:pt idx="7">
                  <c:v>1347</c:v>
                </c:pt>
                <c:pt idx="8">
                  <c:v>255</c:v>
                </c:pt>
                <c:pt idx="9">
                  <c:v>374</c:v>
                </c:pt>
              </c:numCache>
            </c:numRef>
          </c:val>
        </c:ser>
        <c:gapWidth val="150"/>
        <c:overlap val="0"/>
        <c:axId val="87171069"/>
        <c:axId val="85931766"/>
      </c:barChart>
      <c:catAx>
        <c:axId val="871710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31766"/>
        <c:crosses val="autoZero"/>
        <c:auto val="1"/>
        <c:lblAlgn val="ctr"/>
        <c:lblOffset val="100"/>
        <c:noMultiLvlLbl val="0"/>
      </c:catAx>
      <c:valAx>
        <c:axId val="859317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Box Office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710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Genre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'Genre Analysis'!D2</c:f>
              <c:strCache>
                <c:ptCount val="1"/>
                <c:pt idx="0">
                  <c:v>Total Box Office ($M)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'Genre Analysis'!$A$3:$A$8</c:f>
              <c:strCache>
                <c:ptCount val="6"/>
                <c:pt idx="0">
                  <c:v>Action</c:v>
                </c:pt>
                <c:pt idx="1">
                  <c:v>Sci-Fi</c:v>
                </c:pt>
                <c:pt idx="2">
                  <c:v>Thriller</c:v>
                </c:pt>
                <c:pt idx="3">
                  <c:v>Crime</c:v>
                </c:pt>
                <c:pt idx="4">
                  <c:v>Drama</c:v>
                </c:pt>
                <c:pt idx="5">
                  <c:v>Horror</c:v>
                </c:pt>
              </c:strCache>
            </c:strRef>
          </c:cat>
          <c:val>
            <c:numRef>
              <c:f>'Genre Analysis'!$D$3:$D$8</c:f>
              <c:numCache>
                <c:formatCode>General</c:formatCode>
                <c:ptCount val="6"/>
                <c:pt idx="0">
                  <c:v>5524</c:v>
                </c:pt>
                <c:pt idx="1">
                  <c:v>1537</c:v>
                </c:pt>
                <c:pt idx="2">
                  <c:v>258</c:v>
                </c:pt>
                <c:pt idx="3">
                  <c:v>245</c:v>
                </c:pt>
                <c:pt idx="4">
                  <c:v>1079</c:v>
                </c:pt>
                <c:pt idx="5">
                  <c:v>255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ROI % per Film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'Box Office Summary'!G2</c:f>
              <c:strCache>
                <c:ptCount val="1"/>
                <c:pt idx="0">
                  <c:v>ROI (%)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'Box Office Summary'!$A$3:$A$12</c:f>
              <c:strCache>
                <c:ptCount val="10"/>
                <c:pt idx="0">
                  <c:v>The Dark Knight</c:v>
                </c:pt>
                <c:pt idx="1">
                  <c:v>Inception</c:v>
                </c:pt>
                <c:pt idx="2">
                  <c:v>Parasite</c:v>
                </c:pt>
                <c:pt idx="3">
                  <c:v>Avengers Endgame</c:v>
                </c:pt>
                <c:pt idx="4">
                  <c:v>The Godfather</c:v>
                </c:pt>
                <c:pt idx="5">
                  <c:v>Interstellar</c:v>
                </c:pt>
                <c:pt idx="6">
                  <c:v>Joker</c:v>
                </c:pt>
                <c:pt idx="7">
                  <c:v>Black Panther</c:v>
                </c:pt>
                <c:pt idx="8">
                  <c:v>Get Out</c:v>
                </c:pt>
                <c:pt idx="9">
                  <c:v>Mad Max: Fury Road</c:v>
                </c:pt>
              </c:strCache>
            </c:strRef>
          </c:cat>
          <c:val>
            <c:numRef>
              <c:f>'Box Office Summary'!$G$3:$G$12</c:f>
              <c:numCache>
                <c:formatCode>0.0%</c:formatCode>
                <c:ptCount val="10"/>
                <c:pt idx="0">
                  <c:v>4.43243243243243</c:v>
                </c:pt>
                <c:pt idx="1">
                  <c:v>4.225</c:v>
                </c:pt>
                <c:pt idx="2">
                  <c:v>21.6315789473684</c:v>
                </c:pt>
                <c:pt idx="3">
                  <c:v>6.85955056179775</c:v>
                </c:pt>
                <c:pt idx="4">
                  <c:v>39.8333333333333</c:v>
                </c:pt>
                <c:pt idx="5">
                  <c:v>3.24848484848485</c:v>
                </c:pt>
                <c:pt idx="6">
                  <c:v>18.6181818181818</c:v>
                </c:pt>
                <c:pt idx="7">
                  <c:v>5.735</c:v>
                </c:pt>
                <c:pt idx="8">
                  <c:v>55.6666666666667</c:v>
                </c:pt>
                <c:pt idx="9">
                  <c:v>1.49333333333333</c:v>
                </c:pt>
              </c:numCache>
            </c:numRef>
          </c:val>
        </c:ser>
        <c:gapWidth val="150"/>
        <c:overlap val="0"/>
        <c:axId val="66701636"/>
        <c:axId val="47849911"/>
      </c:barChart>
      <c:catAx>
        <c:axId val="667016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49911"/>
        <c:crosses val="autoZero"/>
        <c:auto val="1"/>
        <c:lblAlgn val="ctr"/>
        <c:lblOffset val="100"/>
        <c:noMultiLvlLbl val="0"/>
      </c:catAx>
      <c:valAx>
        <c:axId val="478499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ROI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016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Box Office by Genre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'Genre Analysis'!D2</c:f>
              <c:strCache>
                <c:ptCount val="1"/>
                <c:pt idx="0">
                  <c:v>Total Box Office ($M)</c:v>
                </c:pt>
              </c:strCache>
            </c:strRef>
          </c:tx>
          <c:spPr>
            <a:solidFill>
              <a:srgbClr val="8e44a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'Genre Analysis'!$A$3:$A$8</c:f>
              <c:strCache>
                <c:ptCount val="6"/>
                <c:pt idx="0">
                  <c:v>Action</c:v>
                </c:pt>
                <c:pt idx="1">
                  <c:v>Sci-Fi</c:v>
                </c:pt>
                <c:pt idx="2">
                  <c:v>Thriller</c:v>
                </c:pt>
                <c:pt idx="3">
                  <c:v>Crime</c:v>
                </c:pt>
                <c:pt idx="4">
                  <c:v>Drama</c:v>
                </c:pt>
                <c:pt idx="5">
                  <c:v>Horror</c:v>
                </c:pt>
              </c:strCache>
            </c:strRef>
          </c:cat>
          <c:val>
            <c:numRef>
              <c:f>'Genre Analysis'!$D$3:$D$8</c:f>
              <c:numCache>
                <c:formatCode>General</c:formatCode>
                <c:ptCount val="6"/>
                <c:pt idx="0">
                  <c:v>5524</c:v>
                </c:pt>
                <c:pt idx="1">
                  <c:v>1537</c:v>
                </c:pt>
                <c:pt idx="2">
                  <c:v>258</c:v>
                </c:pt>
                <c:pt idx="3">
                  <c:v>245</c:v>
                </c:pt>
                <c:pt idx="4">
                  <c:v>1079</c:v>
                </c:pt>
                <c:pt idx="5">
                  <c:v>255</c:v>
                </c:pt>
              </c:numCache>
            </c:numRef>
          </c:val>
        </c:ser>
        <c:gapWidth val="150"/>
        <c:overlap val="0"/>
        <c:axId val="90811132"/>
        <c:axId val="14785579"/>
      </c:barChart>
      <c:catAx>
        <c:axId val="908111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85579"/>
        <c:crosses val="autoZero"/>
        <c:auto val="1"/>
        <c:lblAlgn val="ctr"/>
        <c:lblOffset val="100"/>
        <c:noMultiLvlLbl val="0"/>
      </c:catAx>
      <c:valAx>
        <c:axId val="14785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Box Office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111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10</xdr:col>
      <xdr:colOff>10080</xdr:colOff>
      <xdr:row>43</xdr:row>
      <xdr:rowOff>107640</xdr:rowOff>
    </xdr:to>
    <xdr:graphicFrame>
      <xdr:nvGraphicFramePr>
        <xdr:cNvPr id="0" name="Chart 1"/>
        <xdr:cNvGraphicFramePr/>
      </xdr:nvGraphicFramePr>
      <xdr:xfrm>
        <a:off x="0" y="441972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0</xdr:rowOff>
    </xdr:from>
    <xdr:to>
      <xdr:col>19</xdr:col>
      <xdr:colOff>174240</xdr:colOff>
      <xdr:row>43</xdr:row>
      <xdr:rowOff>107640</xdr:rowOff>
    </xdr:to>
    <xdr:graphicFrame>
      <xdr:nvGraphicFramePr>
        <xdr:cNvPr id="1" name="Chart 2"/>
        <xdr:cNvGraphicFramePr/>
      </xdr:nvGraphicFramePr>
      <xdr:xfrm>
        <a:off x="7189560" y="4419720"/>
        <a:ext cx="50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10</xdr:col>
      <xdr:colOff>10080</xdr:colOff>
      <xdr:row>60</xdr:row>
      <xdr:rowOff>107640</xdr:rowOff>
    </xdr:to>
    <xdr:graphicFrame>
      <xdr:nvGraphicFramePr>
        <xdr:cNvPr id="2" name="Chart 3"/>
        <xdr:cNvGraphicFramePr/>
      </xdr:nvGraphicFramePr>
      <xdr:xfrm>
        <a:off x="0" y="765828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36</xdr:row>
      <xdr:rowOff>0</xdr:rowOff>
    </xdr:from>
    <xdr:to>
      <xdr:col>19</xdr:col>
      <xdr:colOff>174240</xdr:colOff>
      <xdr:row>60</xdr:row>
      <xdr:rowOff>107640</xdr:rowOff>
    </xdr:to>
    <xdr:graphicFrame>
      <xdr:nvGraphicFramePr>
        <xdr:cNvPr id="3" name="Chart 4"/>
        <xdr:cNvGraphicFramePr/>
      </xdr:nvGraphicFramePr>
      <xdr:xfrm>
        <a:off x="7189560" y="7658280"/>
        <a:ext cx="50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5282"/>
    <pageSetUpPr fitToPage="fals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5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n">
        <v>1</v>
      </c>
      <c r="B3" s="3" t="s">
        <v>9</v>
      </c>
      <c r="C3" s="3" t="n">
        <v>2008</v>
      </c>
      <c r="D3" s="3" t="s">
        <v>10</v>
      </c>
      <c r="E3" s="3" t="s">
        <v>11</v>
      </c>
      <c r="F3" s="3" t="n">
        <v>9</v>
      </c>
      <c r="G3" s="3" t="n">
        <v>185</v>
      </c>
      <c r="H3" s="3" t="n">
        <v>1005</v>
      </c>
    </row>
    <row r="4" customFormat="false" ht="15" hidden="false" customHeight="false" outlineLevel="0" collapsed="false">
      <c r="A4" s="4" t="n">
        <v>2</v>
      </c>
      <c r="B4" s="4" t="s">
        <v>12</v>
      </c>
      <c r="C4" s="4" t="n">
        <v>2010</v>
      </c>
      <c r="D4" s="4" t="s">
        <v>13</v>
      </c>
      <c r="E4" s="4" t="s">
        <v>11</v>
      </c>
      <c r="F4" s="4" t="n">
        <v>8.8</v>
      </c>
      <c r="G4" s="4" t="n">
        <v>160</v>
      </c>
      <c r="H4" s="4" t="n">
        <v>836</v>
      </c>
    </row>
    <row r="5" customFormat="false" ht="15" hidden="false" customHeight="false" outlineLevel="0" collapsed="false">
      <c r="A5" s="3" t="n">
        <v>3</v>
      </c>
      <c r="B5" s="3" t="s">
        <v>14</v>
      </c>
      <c r="C5" s="3" t="n">
        <v>2019</v>
      </c>
      <c r="D5" s="3" t="s">
        <v>15</v>
      </c>
      <c r="E5" s="3" t="s">
        <v>16</v>
      </c>
      <c r="F5" s="3" t="n">
        <v>8.5</v>
      </c>
      <c r="G5" s="3" t="n">
        <v>11.4</v>
      </c>
      <c r="H5" s="3" t="n">
        <v>258</v>
      </c>
    </row>
    <row r="6" customFormat="false" ht="15" hidden="false" customHeight="false" outlineLevel="0" collapsed="false">
      <c r="A6" s="4" t="n">
        <v>4</v>
      </c>
      <c r="B6" s="4" t="s">
        <v>17</v>
      </c>
      <c r="C6" s="4" t="n">
        <v>2019</v>
      </c>
      <c r="D6" s="4" t="s">
        <v>10</v>
      </c>
      <c r="E6" s="4" t="s">
        <v>18</v>
      </c>
      <c r="F6" s="4" t="n">
        <v>8.4</v>
      </c>
      <c r="G6" s="4" t="n">
        <v>356</v>
      </c>
      <c r="H6" s="4" t="n">
        <v>2798</v>
      </c>
    </row>
    <row r="7" customFormat="false" ht="15" hidden="false" customHeight="false" outlineLevel="0" collapsed="false">
      <c r="A7" s="3" t="n">
        <v>5</v>
      </c>
      <c r="B7" s="3" t="s">
        <v>19</v>
      </c>
      <c r="C7" s="3" t="n">
        <v>1972</v>
      </c>
      <c r="D7" s="3" t="s">
        <v>20</v>
      </c>
      <c r="E7" s="3" t="s">
        <v>21</v>
      </c>
      <c r="F7" s="3" t="n">
        <v>9.2</v>
      </c>
      <c r="G7" s="3" t="n">
        <v>6</v>
      </c>
      <c r="H7" s="3" t="n">
        <v>245</v>
      </c>
    </row>
    <row r="8" customFormat="false" ht="15" hidden="false" customHeight="false" outlineLevel="0" collapsed="false">
      <c r="A8" s="4" t="n">
        <v>6</v>
      </c>
      <c r="B8" s="4" t="s">
        <v>22</v>
      </c>
      <c r="C8" s="4" t="n">
        <v>2014</v>
      </c>
      <c r="D8" s="4" t="s">
        <v>13</v>
      </c>
      <c r="E8" s="4" t="s">
        <v>11</v>
      </c>
      <c r="F8" s="4" t="n">
        <v>8.6</v>
      </c>
      <c r="G8" s="4" t="n">
        <v>165</v>
      </c>
      <c r="H8" s="4" t="n">
        <v>701</v>
      </c>
    </row>
    <row r="9" customFormat="false" ht="15" hidden="false" customHeight="false" outlineLevel="0" collapsed="false">
      <c r="A9" s="3" t="n">
        <v>7</v>
      </c>
      <c r="B9" s="3" t="s">
        <v>23</v>
      </c>
      <c r="C9" s="3" t="n">
        <v>2019</v>
      </c>
      <c r="D9" s="3" t="s">
        <v>24</v>
      </c>
      <c r="E9" s="3" t="s">
        <v>25</v>
      </c>
      <c r="F9" s="3" t="n">
        <v>8.4</v>
      </c>
      <c r="G9" s="3" t="n">
        <v>55</v>
      </c>
      <c r="H9" s="3" t="n">
        <v>1079</v>
      </c>
    </row>
    <row r="10" customFormat="false" ht="15" hidden="false" customHeight="false" outlineLevel="0" collapsed="false">
      <c r="A10" s="4" t="n">
        <v>8</v>
      </c>
      <c r="B10" s="4" t="s">
        <v>26</v>
      </c>
      <c r="C10" s="4" t="n">
        <v>2018</v>
      </c>
      <c r="D10" s="4" t="s">
        <v>10</v>
      </c>
      <c r="E10" s="4" t="s">
        <v>27</v>
      </c>
      <c r="F10" s="4" t="n">
        <v>7.3</v>
      </c>
      <c r="G10" s="4" t="n">
        <v>200</v>
      </c>
      <c r="H10" s="4" t="n">
        <v>1347</v>
      </c>
    </row>
    <row r="11" customFormat="false" ht="15" hidden="false" customHeight="false" outlineLevel="0" collapsed="false">
      <c r="A11" s="3" t="n">
        <v>9</v>
      </c>
      <c r="B11" s="3" t="s">
        <v>28</v>
      </c>
      <c r="C11" s="3" t="n">
        <v>2017</v>
      </c>
      <c r="D11" s="3" t="s">
        <v>29</v>
      </c>
      <c r="E11" s="3" t="s">
        <v>30</v>
      </c>
      <c r="F11" s="3" t="n">
        <v>7.7</v>
      </c>
      <c r="G11" s="3" t="n">
        <v>4.5</v>
      </c>
      <c r="H11" s="3" t="n">
        <v>255</v>
      </c>
    </row>
    <row r="12" customFormat="false" ht="15" hidden="false" customHeight="false" outlineLevel="0" collapsed="false">
      <c r="A12" s="4" t="n">
        <v>10</v>
      </c>
      <c r="B12" s="4" t="s">
        <v>31</v>
      </c>
      <c r="C12" s="4" t="n">
        <v>2015</v>
      </c>
      <c r="D12" s="4" t="s">
        <v>10</v>
      </c>
      <c r="E12" s="4" t="s">
        <v>32</v>
      </c>
      <c r="F12" s="4" t="n">
        <v>8.1</v>
      </c>
      <c r="G12" s="4" t="n">
        <v>150</v>
      </c>
      <c r="H12" s="4" t="n">
        <v>374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2D8B"/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4" min="3" style="0" width="18"/>
    <col collapsed="false" customWidth="true" hidden="false" outlineLevel="0" max="5" min="5" style="0" width="8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5" t="s">
        <v>33</v>
      </c>
      <c r="B1" s="5"/>
      <c r="C1" s="5"/>
      <c r="D1" s="5"/>
      <c r="E1" s="5"/>
      <c r="F1" s="5"/>
    </row>
    <row r="2" customFormat="false" ht="21.75" hidden="false" customHeight="true" outlineLevel="0" collapsed="false">
      <c r="A2" s="6" t="s">
        <v>34</v>
      </c>
      <c r="B2" s="6" t="s">
        <v>1</v>
      </c>
      <c r="C2" s="6" t="s">
        <v>35</v>
      </c>
      <c r="D2" s="6" t="s">
        <v>36</v>
      </c>
      <c r="E2" s="6" t="s">
        <v>37</v>
      </c>
      <c r="F2" s="6" t="s">
        <v>38</v>
      </c>
    </row>
    <row r="3" customFormat="false" ht="15" hidden="false" customHeight="false" outlineLevel="0" collapsed="false">
      <c r="A3" s="3" t="n">
        <v>101</v>
      </c>
      <c r="B3" s="3" t="n">
        <v>1</v>
      </c>
      <c r="C3" s="3" t="s">
        <v>39</v>
      </c>
      <c r="D3" s="3" t="s">
        <v>40</v>
      </c>
      <c r="E3" s="3" t="n">
        <v>94</v>
      </c>
      <c r="F3" s="3" t="n">
        <v>2008</v>
      </c>
    </row>
    <row r="4" customFormat="false" ht="15" hidden="false" customHeight="false" outlineLevel="0" collapsed="false">
      <c r="A4" s="4" t="n">
        <v>102</v>
      </c>
      <c r="B4" s="4" t="n">
        <v>1</v>
      </c>
      <c r="C4" s="4" t="s">
        <v>41</v>
      </c>
      <c r="D4" s="4" t="s">
        <v>42</v>
      </c>
      <c r="E4" s="4" t="n">
        <v>9</v>
      </c>
      <c r="F4" s="4" t="n">
        <v>2008</v>
      </c>
    </row>
    <row r="5" customFormat="false" ht="15" hidden="false" customHeight="false" outlineLevel="0" collapsed="false">
      <c r="A5" s="3" t="n">
        <v>103</v>
      </c>
      <c r="B5" s="3" t="n">
        <v>2</v>
      </c>
      <c r="C5" s="3" t="s">
        <v>43</v>
      </c>
      <c r="D5" s="3" t="s">
        <v>44</v>
      </c>
      <c r="E5" s="3" t="n">
        <v>74</v>
      </c>
      <c r="F5" s="3" t="n">
        <v>2010</v>
      </c>
    </row>
    <row r="6" customFormat="false" ht="15" hidden="false" customHeight="false" outlineLevel="0" collapsed="false">
      <c r="A6" s="4" t="n">
        <v>104</v>
      </c>
      <c r="B6" s="4" t="n">
        <v>2</v>
      </c>
      <c r="C6" s="4" t="s">
        <v>45</v>
      </c>
      <c r="D6" s="4" t="s">
        <v>42</v>
      </c>
      <c r="E6" s="4" t="n">
        <v>8.8</v>
      </c>
      <c r="F6" s="4" t="n">
        <v>2010</v>
      </c>
    </row>
    <row r="7" customFormat="false" ht="15" hidden="false" customHeight="false" outlineLevel="0" collapsed="false">
      <c r="A7" s="3" t="n">
        <v>105</v>
      </c>
      <c r="B7" s="3" t="n">
        <v>3</v>
      </c>
      <c r="C7" s="3" t="s">
        <v>46</v>
      </c>
      <c r="D7" s="3" t="s">
        <v>40</v>
      </c>
      <c r="E7" s="3" t="n">
        <v>99</v>
      </c>
      <c r="F7" s="3" t="n">
        <v>2019</v>
      </c>
    </row>
    <row r="8" customFormat="false" ht="15" hidden="false" customHeight="false" outlineLevel="0" collapsed="false">
      <c r="A8" s="4" t="n">
        <v>106</v>
      </c>
      <c r="B8" s="4" t="n">
        <v>3</v>
      </c>
      <c r="C8" s="4" t="s">
        <v>47</v>
      </c>
      <c r="D8" s="4" t="s">
        <v>44</v>
      </c>
      <c r="E8" s="4" t="n">
        <v>96</v>
      </c>
      <c r="F8" s="4" t="n">
        <v>2019</v>
      </c>
    </row>
    <row r="9" customFormat="false" ht="15" hidden="false" customHeight="false" outlineLevel="0" collapsed="false">
      <c r="A9" s="3" t="n">
        <v>107</v>
      </c>
      <c r="B9" s="3" t="n">
        <v>4</v>
      </c>
      <c r="C9" s="3" t="s">
        <v>48</v>
      </c>
      <c r="D9" s="3" t="s">
        <v>42</v>
      </c>
      <c r="E9" s="3" t="n">
        <v>8.4</v>
      </c>
      <c r="F9" s="3" t="n">
        <v>2019</v>
      </c>
    </row>
    <row r="10" customFormat="false" ht="15" hidden="false" customHeight="false" outlineLevel="0" collapsed="false">
      <c r="A10" s="4" t="n">
        <v>108</v>
      </c>
      <c r="B10" s="4" t="n">
        <v>5</v>
      </c>
      <c r="C10" s="4" t="s">
        <v>49</v>
      </c>
      <c r="D10" s="4" t="s">
        <v>40</v>
      </c>
      <c r="E10" s="4" t="n">
        <v>97</v>
      </c>
      <c r="F10" s="4" t="n">
        <v>2022</v>
      </c>
    </row>
    <row r="11" customFormat="false" ht="15" hidden="false" customHeight="false" outlineLevel="0" collapsed="false">
      <c r="A11" s="3" t="n">
        <v>109</v>
      </c>
      <c r="B11" s="3" t="n">
        <v>6</v>
      </c>
      <c r="C11" s="3" t="s">
        <v>50</v>
      </c>
      <c r="D11" s="3" t="s">
        <v>42</v>
      </c>
      <c r="E11" s="3" t="n">
        <v>8.6</v>
      </c>
      <c r="F11" s="3" t="n">
        <v>2014</v>
      </c>
    </row>
    <row r="12" customFormat="false" ht="15" hidden="false" customHeight="false" outlineLevel="0" collapsed="false">
      <c r="A12" s="4" t="n">
        <v>110</v>
      </c>
      <c r="B12" s="4" t="n">
        <v>7</v>
      </c>
      <c r="C12" s="4" t="s">
        <v>51</v>
      </c>
      <c r="D12" s="4" t="s">
        <v>44</v>
      </c>
      <c r="E12" s="4" t="n">
        <v>59</v>
      </c>
      <c r="F12" s="4" t="n">
        <v>2019</v>
      </c>
    </row>
    <row r="13" customFormat="false" ht="15" hidden="false" customHeight="false" outlineLevel="0" collapsed="false">
      <c r="A13" s="3" t="n">
        <v>111</v>
      </c>
      <c r="B13" s="3" t="n">
        <v>7</v>
      </c>
      <c r="C13" s="3" t="s">
        <v>52</v>
      </c>
      <c r="D13" s="3" t="s">
        <v>40</v>
      </c>
      <c r="E13" s="3" t="n">
        <v>69</v>
      </c>
      <c r="F13" s="3" t="n">
        <v>2019</v>
      </c>
    </row>
    <row r="14" customFormat="false" ht="15" hidden="false" customHeight="false" outlineLevel="0" collapsed="false">
      <c r="A14" s="4" t="n">
        <v>112</v>
      </c>
      <c r="B14" s="4" t="n">
        <v>8</v>
      </c>
      <c r="C14" s="4" t="s">
        <v>53</v>
      </c>
      <c r="D14" s="4" t="s">
        <v>42</v>
      </c>
      <c r="E14" s="4" t="n">
        <v>7.3</v>
      </c>
      <c r="F14" s="4" t="n">
        <v>2018</v>
      </c>
    </row>
    <row r="15" customFormat="false" ht="15" hidden="false" customHeight="false" outlineLevel="0" collapsed="false">
      <c r="A15" s="3" t="n">
        <v>113</v>
      </c>
      <c r="B15" s="3" t="n">
        <v>9</v>
      </c>
      <c r="C15" s="3" t="s">
        <v>54</v>
      </c>
      <c r="D15" s="3" t="s">
        <v>40</v>
      </c>
      <c r="E15" s="3" t="n">
        <v>98</v>
      </c>
      <c r="F15" s="3" t="n">
        <v>2017</v>
      </c>
    </row>
    <row r="16" customFormat="false" ht="15" hidden="false" customHeight="false" outlineLevel="0" collapsed="false">
      <c r="A16" s="4" t="n">
        <v>114</v>
      </c>
      <c r="B16" s="4" t="n">
        <v>10</v>
      </c>
      <c r="C16" s="4" t="s">
        <v>55</v>
      </c>
      <c r="D16" s="4" t="s">
        <v>42</v>
      </c>
      <c r="E16" s="4" t="n">
        <v>8.1</v>
      </c>
      <c r="F16" s="4" t="n">
        <v>2015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276"/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0"/>
  </cols>
  <sheetData>
    <row r="1" customFormat="false" ht="33.75" hidden="false" customHeight="true" outlineLevel="0" collapsed="false">
      <c r="A1" s="7" t="s">
        <v>56</v>
      </c>
      <c r="B1" s="7"/>
      <c r="C1" s="7"/>
      <c r="D1" s="7"/>
      <c r="E1" s="7"/>
      <c r="F1" s="7"/>
      <c r="G1" s="7"/>
    </row>
    <row r="2" customFormat="false" ht="21.75" hidden="false" customHeight="true" outlineLevel="0" collapsed="false">
      <c r="A2" s="8" t="s">
        <v>57</v>
      </c>
      <c r="B2" s="8" t="s">
        <v>3</v>
      </c>
      <c r="C2" s="8" t="s">
        <v>4</v>
      </c>
      <c r="D2" s="8" t="s">
        <v>7</v>
      </c>
      <c r="E2" s="8" t="s">
        <v>8</v>
      </c>
      <c r="F2" s="8" t="s">
        <v>58</v>
      </c>
      <c r="G2" s="8" t="s">
        <v>59</v>
      </c>
    </row>
    <row r="3" customFormat="false" ht="15" hidden="false" customHeight="false" outlineLevel="0" collapsed="false">
      <c r="A3" s="3" t="s">
        <v>9</v>
      </c>
      <c r="B3" s="3" t="n">
        <v>2008</v>
      </c>
      <c r="C3" s="3" t="s">
        <v>10</v>
      </c>
      <c r="D3" s="3" t="n">
        <v>185</v>
      </c>
      <c r="E3" s="3" t="n">
        <v>1005</v>
      </c>
      <c r="F3" s="3" t="n">
        <f aca="false">E3-D3</f>
        <v>820</v>
      </c>
      <c r="G3" s="9" t="n">
        <f aca="false">(E3-D3)/D3</f>
        <v>4.43243243243243</v>
      </c>
    </row>
    <row r="4" customFormat="false" ht="15" hidden="false" customHeight="false" outlineLevel="0" collapsed="false">
      <c r="A4" s="4" t="s">
        <v>12</v>
      </c>
      <c r="B4" s="4" t="n">
        <v>2010</v>
      </c>
      <c r="C4" s="4" t="s">
        <v>13</v>
      </c>
      <c r="D4" s="4" t="n">
        <v>160</v>
      </c>
      <c r="E4" s="4" t="n">
        <v>836</v>
      </c>
      <c r="F4" s="4" t="n">
        <f aca="false">E4-D4</f>
        <v>676</v>
      </c>
      <c r="G4" s="10" t="n">
        <f aca="false">(E4-D4)/D4</f>
        <v>4.225</v>
      </c>
    </row>
    <row r="5" customFormat="false" ht="15" hidden="false" customHeight="false" outlineLevel="0" collapsed="false">
      <c r="A5" s="3" t="s">
        <v>14</v>
      </c>
      <c r="B5" s="3" t="n">
        <v>2019</v>
      </c>
      <c r="C5" s="3" t="s">
        <v>15</v>
      </c>
      <c r="D5" s="3" t="n">
        <v>11.4</v>
      </c>
      <c r="E5" s="3" t="n">
        <v>258</v>
      </c>
      <c r="F5" s="3" t="n">
        <f aca="false">E5-D5</f>
        <v>246.6</v>
      </c>
      <c r="G5" s="9" t="n">
        <f aca="false">(E5-D5)/D5</f>
        <v>21.6315789473684</v>
      </c>
    </row>
    <row r="6" customFormat="false" ht="15" hidden="false" customHeight="false" outlineLevel="0" collapsed="false">
      <c r="A6" s="4" t="s">
        <v>17</v>
      </c>
      <c r="B6" s="4" t="n">
        <v>2019</v>
      </c>
      <c r="C6" s="4" t="s">
        <v>10</v>
      </c>
      <c r="D6" s="4" t="n">
        <v>356</v>
      </c>
      <c r="E6" s="4" t="n">
        <v>2798</v>
      </c>
      <c r="F6" s="4" t="n">
        <f aca="false">E6-D6</f>
        <v>2442</v>
      </c>
      <c r="G6" s="10" t="n">
        <f aca="false">(E6-D6)/D6</f>
        <v>6.85955056179775</v>
      </c>
    </row>
    <row r="7" customFormat="false" ht="15" hidden="false" customHeight="false" outlineLevel="0" collapsed="false">
      <c r="A7" s="3" t="s">
        <v>19</v>
      </c>
      <c r="B7" s="3" t="n">
        <v>1972</v>
      </c>
      <c r="C7" s="3" t="s">
        <v>20</v>
      </c>
      <c r="D7" s="3" t="n">
        <v>6</v>
      </c>
      <c r="E7" s="3" t="n">
        <v>245</v>
      </c>
      <c r="F7" s="3" t="n">
        <f aca="false">E7-D7</f>
        <v>239</v>
      </c>
      <c r="G7" s="9" t="n">
        <f aca="false">(E7-D7)/D7</f>
        <v>39.8333333333333</v>
      </c>
    </row>
    <row r="8" customFormat="false" ht="15" hidden="false" customHeight="false" outlineLevel="0" collapsed="false">
      <c r="A8" s="4" t="s">
        <v>22</v>
      </c>
      <c r="B8" s="4" t="n">
        <v>2014</v>
      </c>
      <c r="C8" s="4" t="s">
        <v>13</v>
      </c>
      <c r="D8" s="4" t="n">
        <v>165</v>
      </c>
      <c r="E8" s="4" t="n">
        <v>701</v>
      </c>
      <c r="F8" s="4" t="n">
        <f aca="false">E8-D8</f>
        <v>536</v>
      </c>
      <c r="G8" s="10" t="n">
        <f aca="false">(E8-D8)/D8</f>
        <v>3.24848484848485</v>
      </c>
    </row>
    <row r="9" customFormat="false" ht="15" hidden="false" customHeight="false" outlineLevel="0" collapsed="false">
      <c r="A9" s="3" t="s">
        <v>23</v>
      </c>
      <c r="B9" s="3" t="n">
        <v>2019</v>
      </c>
      <c r="C9" s="3" t="s">
        <v>24</v>
      </c>
      <c r="D9" s="3" t="n">
        <v>55</v>
      </c>
      <c r="E9" s="3" t="n">
        <v>1079</v>
      </c>
      <c r="F9" s="3" t="n">
        <f aca="false">E9-D9</f>
        <v>1024</v>
      </c>
      <c r="G9" s="9" t="n">
        <f aca="false">(E9-D9)/D9</f>
        <v>18.6181818181818</v>
      </c>
    </row>
    <row r="10" customFormat="false" ht="15" hidden="false" customHeight="false" outlineLevel="0" collapsed="false">
      <c r="A10" s="4" t="s">
        <v>26</v>
      </c>
      <c r="B10" s="4" t="n">
        <v>2018</v>
      </c>
      <c r="C10" s="4" t="s">
        <v>10</v>
      </c>
      <c r="D10" s="4" t="n">
        <v>200</v>
      </c>
      <c r="E10" s="4" t="n">
        <v>1347</v>
      </c>
      <c r="F10" s="4" t="n">
        <f aca="false">E10-D10</f>
        <v>1147</v>
      </c>
      <c r="G10" s="10" t="n">
        <f aca="false">(E10-D10)/D10</f>
        <v>5.735</v>
      </c>
    </row>
    <row r="11" customFormat="false" ht="15" hidden="false" customHeight="false" outlineLevel="0" collapsed="false">
      <c r="A11" s="3" t="s">
        <v>28</v>
      </c>
      <c r="B11" s="3" t="n">
        <v>2017</v>
      </c>
      <c r="C11" s="3" t="s">
        <v>29</v>
      </c>
      <c r="D11" s="3" t="n">
        <v>4.5</v>
      </c>
      <c r="E11" s="3" t="n">
        <v>255</v>
      </c>
      <c r="F11" s="3" t="n">
        <f aca="false">E11-D11</f>
        <v>250.5</v>
      </c>
      <c r="G11" s="9" t="n">
        <f aca="false">(E11-D11)/D11</f>
        <v>55.6666666666667</v>
      </c>
    </row>
    <row r="12" customFormat="false" ht="15" hidden="false" customHeight="false" outlineLevel="0" collapsed="false">
      <c r="A12" s="4" t="s">
        <v>31</v>
      </c>
      <c r="B12" s="4" t="n">
        <v>2015</v>
      </c>
      <c r="C12" s="4" t="s">
        <v>10</v>
      </c>
      <c r="D12" s="4" t="n">
        <v>150</v>
      </c>
      <c r="E12" s="4" t="n">
        <v>374</v>
      </c>
      <c r="F12" s="4" t="n">
        <f aca="false">E12-D12</f>
        <v>224</v>
      </c>
      <c r="G12" s="10" t="n">
        <f aca="false">(E12-D12)/D12</f>
        <v>1.49333333333333</v>
      </c>
    </row>
    <row r="13" customFormat="false" ht="15" hidden="false" customHeight="false" outlineLevel="0" collapsed="false">
      <c r="A13" s="11" t="s">
        <v>60</v>
      </c>
      <c r="B13" s="11"/>
      <c r="C13" s="11"/>
      <c r="D13" s="12" t="n">
        <f aca="false">SUM(D3:D12)</f>
        <v>1292.9</v>
      </c>
      <c r="E13" s="13" t="n">
        <f aca="false">SUM(E3:E12)</f>
        <v>8898</v>
      </c>
      <c r="F13" s="13" t="n">
        <f aca="false">SUM(F3:F12)</f>
        <v>7605.1</v>
      </c>
      <c r="G13" s="14" t="n">
        <f aca="false">AVERAGE(G3:G12)</f>
        <v>16.1743561941599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4"/>
  </cols>
  <sheetData>
    <row r="1" customFormat="false" ht="33.75" hidden="false" customHeight="true" outlineLevel="0" collapsed="false">
      <c r="A1" s="15" t="s">
        <v>61</v>
      </c>
      <c r="B1" s="15"/>
      <c r="C1" s="15"/>
      <c r="D1" s="15"/>
      <c r="E1" s="15"/>
    </row>
    <row r="2" customFormat="false" ht="21.75" hidden="false" customHeight="true" outlineLevel="0" collapsed="false">
      <c r="A2" s="16" t="s">
        <v>4</v>
      </c>
      <c r="B2" s="16" t="s">
        <v>62</v>
      </c>
      <c r="C2" s="16" t="s">
        <v>63</v>
      </c>
      <c r="D2" s="16" t="s">
        <v>64</v>
      </c>
      <c r="E2" s="16" t="s">
        <v>65</v>
      </c>
    </row>
    <row r="3" customFormat="false" ht="15" hidden="false" customHeight="false" outlineLevel="0" collapsed="false">
      <c r="A3" s="3" t="s">
        <v>10</v>
      </c>
      <c r="B3" s="3" t="n">
        <v>4</v>
      </c>
      <c r="C3" s="3" t="n">
        <v>8.2</v>
      </c>
      <c r="D3" s="3" t="n">
        <v>5524</v>
      </c>
      <c r="E3" s="17" t="n">
        <f aca="false">D3/SUM($D$3:$D$8)</f>
        <v>0.620813665992358</v>
      </c>
    </row>
    <row r="4" customFormat="false" ht="15" hidden="false" customHeight="false" outlineLevel="0" collapsed="false">
      <c r="A4" s="4" t="s">
        <v>13</v>
      </c>
      <c r="B4" s="4" t="n">
        <v>2</v>
      </c>
      <c r="C4" s="4" t="n">
        <v>8.7</v>
      </c>
      <c r="D4" s="4" t="n">
        <v>1537</v>
      </c>
      <c r="E4" s="10" t="n">
        <f aca="false">D4/SUM($D$3:$D$8)</f>
        <v>0.172735446167678</v>
      </c>
    </row>
    <row r="5" customFormat="false" ht="15" hidden="false" customHeight="false" outlineLevel="0" collapsed="false">
      <c r="A5" s="3" t="s">
        <v>15</v>
      </c>
      <c r="B5" s="3" t="n">
        <v>1</v>
      </c>
      <c r="C5" s="3" t="n">
        <v>8.5</v>
      </c>
      <c r="D5" s="3" t="n">
        <v>258</v>
      </c>
      <c r="E5" s="17" t="n">
        <f aca="false">D5/SUM($D$3:$D$8)</f>
        <v>0.0289952798381659</v>
      </c>
    </row>
    <row r="6" customFormat="false" ht="15" hidden="false" customHeight="false" outlineLevel="0" collapsed="false">
      <c r="A6" s="4" t="s">
        <v>20</v>
      </c>
      <c r="B6" s="4" t="n">
        <v>1</v>
      </c>
      <c r="C6" s="4" t="n">
        <v>9.2</v>
      </c>
      <c r="D6" s="4" t="n">
        <v>245</v>
      </c>
      <c r="E6" s="10" t="n">
        <f aca="false">D6/SUM($D$3:$D$8)</f>
        <v>0.0275342773657002</v>
      </c>
    </row>
    <row r="7" customFormat="false" ht="15" hidden="false" customHeight="false" outlineLevel="0" collapsed="false">
      <c r="A7" s="3" t="s">
        <v>24</v>
      </c>
      <c r="B7" s="3" t="n">
        <v>1</v>
      </c>
      <c r="C7" s="3" t="n">
        <v>8.4</v>
      </c>
      <c r="D7" s="3" t="n">
        <v>1079</v>
      </c>
      <c r="E7" s="17" t="n">
        <f aca="false">D7/SUM($D$3:$D$8)</f>
        <v>0.121263205214655</v>
      </c>
    </row>
    <row r="8" customFormat="false" ht="15" hidden="false" customHeight="false" outlineLevel="0" collapsed="false">
      <c r="A8" s="4" t="s">
        <v>29</v>
      </c>
      <c r="B8" s="4" t="n">
        <v>1</v>
      </c>
      <c r="C8" s="4" t="n">
        <v>7.7</v>
      </c>
      <c r="D8" s="4" t="n">
        <v>255</v>
      </c>
      <c r="E8" s="10" t="n">
        <f aca="false">D8/SUM($D$3:$D$8)</f>
        <v>0.028658125421443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2B21"/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7"/>
  </cols>
  <sheetData>
    <row r="1" customFormat="false" ht="33.75" hidden="false" customHeight="true" outlineLevel="0" collapsed="false">
      <c r="A1" s="18" t="s">
        <v>66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customFormat="false" ht="21.75" hidden="false" customHeight="true" outlineLevel="0" collapsed="false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58</v>
      </c>
      <c r="J2" s="19" t="s">
        <v>59</v>
      </c>
      <c r="K2" s="19" t="s">
        <v>67</v>
      </c>
    </row>
    <row r="3" customFormat="false" ht="15" hidden="false" customHeight="false" outlineLevel="0" collapsed="false">
      <c r="A3" s="20" t="n">
        <f aca="false">films_csv!A3</f>
        <v>1</v>
      </c>
      <c r="B3" s="20" t="str">
        <f aca="false">films_csv!B3</f>
        <v>The Dark Knight</v>
      </c>
      <c r="C3" s="20" t="n">
        <f aca="false">films_csv!C3</f>
        <v>2008</v>
      </c>
      <c r="D3" s="20" t="str">
        <f aca="false">films_csv!D3</f>
        <v>Action</v>
      </c>
      <c r="E3" s="20" t="str">
        <f aca="false">films_csv!E3</f>
        <v>Christopher Nolan</v>
      </c>
      <c r="F3" s="20" t="n">
        <f aca="false">films_csv!F3</f>
        <v>9</v>
      </c>
      <c r="G3" s="20" t="n">
        <f aca="false">films_csv!G3</f>
        <v>185</v>
      </c>
      <c r="H3" s="20" t="n">
        <f aca="false">films_csv!H3</f>
        <v>1005</v>
      </c>
      <c r="I3" s="20" t="n">
        <f aca="false">H3-G3</f>
        <v>820</v>
      </c>
      <c r="J3" s="21" t="n">
        <f aca="false">(H3-G3)/G3</f>
        <v>4.43243243243243</v>
      </c>
      <c r="K3" s="22" t="n">
        <f aca="false">IFERROR(AVERAGEIF(reviews_csv!$B$3:$B$16,A3,reviews_csv!$E$3:$E$16),"N/A")</f>
        <v>51.5</v>
      </c>
    </row>
    <row r="4" customFormat="false" ht="15" hidden="false" customHeight="false" outlineLevel="0" collapsed="false">
      <c r="A4" s="4" t="n">
        <f aca="false">films_csv!A4</f>
        <v>2</v>
      </c>
      <c r="B4" s="4" t="str">
        <f aca="false">films_csv!B4</f>
        <v>Inception</v>
      </c>
      <c r="C4" s="4" t="n">
        <f aca="false">films_csv!C4</f>
        <v>2010</v>
      </c>
      <c r="D4" s="4" t="str">
        <f aca="false">films_csv!D4</f>
        <v>Sci-Fi</v>
      </c>
      <c r="E4" s="4" t="str">
        <f aca="false">films_csv!E4</f>
        <v>Christopher Nolan</v>
      </c>
      <c r="F4" s="4" t="n">
        <f aca="false">films_csv!F4</f>
        <v>8.8</v>
      </c>
      <c r="G4" s="4" t="n">
        <f aca="false">films_csv!G4</f>
        <v>160</v>
      </c>
      <c r="H4" s="4" t="n">
        <f aca="false">films_csv!H4</f>
        <v>836</v>
      </c>
      <c r="I4" s="4" t="n">
        <f aca="false">H4-G4</f>
        <v>676</v>
      </c>
      <c r="J4" s="10" t="n">
        <f aca="false">(H4-G4)/G4</f>
        <v>4.225</v>
      </c>
      <c r="K4" s="23" t="n">
        <f aca="false">IFERROR(AVERAGEIF(reviews_csv!$B$3:$B$16,A4,reviews_csv!$E$3:$E$16),"N/A")</f>
        <v>41.4</v>
      </c>
    </row>
    <row r="5" customFormat="false" ht="15" hidden="false" customHeight="false" outlineLevel="0" collapsed="false">
      <c r="A5" s="20" t="n">
        <f aca="false">films_csv!A5</f>
        <v>3</v>
      </c>
      <c r="B5" s="20" t="str">
        <f aca="false">films_csv!B5</f>
        <v>Parasite</v>
      </c>
      <c r="C5" s="20" t="n">
        <f aca="false">films_csv!C5</f>
        <v>2019</v>
      </c>
      <c r="D5" s="20" t="str">
        <f aca="false">films_csv!D5</f>
        <v>Thriller</v>
      </c>
      <c r="E5" s="20" t="str">
        <f aca="false">films_csv!E5</f>
        <v>Bong Joon-ho</v>
      </c>
      <c r="F5" s="20" t="n">
        <f aca="false">films_csv!F5</f>
        <v>8.5</v>
      </c>
      <c r="G5" s="20" t="n">
        <f aca="false">films_csv!G5</f>
        <v>11.4</v>
      </c>
      <c r="H5" s="20" t="n">
        <f aca="false">films_csv!H5</f>
        <v>258</v>
      </c>
      <c r="I5" s="20" t="n">
        <f aca="false">H5-G5</f>
        <v>246.6</v>
      </c>
      <c r="J5" s="21" t="n">
        <f aca="false">(H5-G5)/G5</f>
        <v>21.6315789473684</v>
      </c>
      <c r="K5" s="22" t="n">
        <f aca="false">IFERROR(AVERAGEIF(reviews_csv!$B$3:$B$16,A5,reviews_csv!$E$3:$E$16),"N/A")</f>
        <v>97.5</v>
      </c>
    </row>
    <row r="6" customFormat="false" ht="15" hidden="false" customHeight="false" outlineLevel="0" collapsed="false">
      <c r="A6" s="4" t="n">
        <f aca="false">films_csv!A6</f>
        <v>4</v>
      </c>
      <c r="B6" s="4" t="str">
        <f aca="false">films_csv!B6</f>
        <v>Avengers Endgame</v>
      </c>
      <c r="C6" s="4" t="n">
        <f aca="false">films_csv!C6</f>
        <v>2019</v>
      </c>
      <c r="D6" s="4" t="str">
        <f aca="false">films_csv!D6</f>
        <v>Action</v>
      </c>
      <c r="E6" s="4" t="str">
        <f aca="false">films_csv!E6</f>
        <v>Anthony Russo</v>
      </c>
      <c r="F6" s="4" t="n">
        <f aca="false">films_csv!F6</f>
        <v>8.4</v>
      </c>
      <c r="G6" s="4" t="n">
        <f aca="false">films_csv!G6</f>
        <v>356</v>
      </c>
      <c r="H6" s="4" t="n">
        <f aca="false">films_csv!H6</f>
        <v>2798</v>
      </c>
      <c r="I6" s="4" t="n">
        <f aca="false">H6-G6</f>
        <v>2442</v>
      </c>
      <c r="J6" s="10" t="n">
        <f aca="false">(H6-G6)/G6</f>
        <v>6.85955056179775</v>
      </c>
      <c r="K6" s="23" t="n">
        <f aca="false">IFERROR(AVERAGEIF(reviews_csv!$B$3:$B$16,A6,reviews_csv!$E$3:$E$16),"N/A")</f>
        <v>8.4</v>
      </c>
    </row>
    <row r="7" customFormat="false" ht="15" hidden="false" customHeight="false" outlineLevel="0" collapsed="false">
      <c r="A7" s="20" t="n">
        <f aca="false">films_csv!A7</f>
        <v>5</v>
      </c>
      <c r="B7" s="20" t="str">
        <f aca="false">films_csv!B7</f>
        <v>The Godfather</v>
      </c>
      <c r="C7" s="20" t="n">
        <f aca="false">films_csv!C7</f>
        <v>1972</v>
      </c>
      <c r="D7" s="20" t="str">
        <f aca="false">films_csv!D7</f>
        <v>Crime</v>
      </c>
      <c r="E7" s="20" t="str">
        <f aca="false">films_csv!E7</f>
        <v>Francis Ford Coppola</v>
      </c>
      <c r="F7" s="20" t="n">
        <f aca="false">films_csv!F7</f>
        <v>9.2</v>
      </c>
      <c r="G7" s="20" t="n">
        <f aca="false">films_csv!G7</f>
        <v>6</v>
      </c>
      <c r="H7" s="20" t="n">
        <f aca="false">films_csv!H7</f>
        <v>245</v>
      </c>
      <c r="I7" s="20" t="n">
        <f aca="false">H7-G7</f>
        <v>239</v>
      </c>
      <c r="J7" s="21" t="n">
        <f aca="false">(H7-G7)/G7</f>
        <v>39.8333333333333</v>
      </c>
      <c r="K7" s="22" t="n">
        <f aca="false">IFERROR(AVERAGEIF(reviews_csv!$B$3:$B$16,A7,reviews_csv!$E$3:$E$16),"N/A")</f>
        <v>97</v>
      </c>
    </row>
    <row r="8" customFormat="false" ht="15" hidden="false" customHeight="false" outlineLevel="0" collapsed="false">
      <c r="A8" s="4" t="n">
        <f aca="false">films_csv!A8</f>
        <v>6</v>
      </c>
      <c r="B8" s="4" t="str">
        <f aca="false">films_csv!B8</f>
        <v>Interstellar</v>
      </c>
      <c r="C8" s="4" t="n">
        <f aca="false">films_csv!C8</f>
        <v>2014</v>
      </c>
      <c r="D8" s="4" t="str">
        <f aca="false">films_csv!D8</f>
        <v>Sci-Fi</v>
      </c>
      <c r="E8" s="4" t="str">
        <f aca="false">films_csv!E8</f>
        <v>Christopher Nolan</v>
      </c>
      <c r="F8" s="4" t="n">
        <f aca="false">films_csv!F8</f>
        <v>8.6</v>
      </c>
      <c r="G8" s="4" t="n">
        <f aca="false">films_csv!G8</f>
        <v>165</v>
      </c>
      <c r="H8" s="4" t="n">
        <f aca="false">films_csv!H8</f>
        <v>701</v>
      </c>
      <c r="I8" s="4" t="n">
        <f aca="false">H8-G8</f>
        <v>536</v>
      </c>
      <c r="J8" s="10" t="n">
        <f aca="false">(H8-G8)/G8</f>
        <v>3.24848484848485</v>
      </c>
      <c r="K8" s="23" t="n">
        <f aca="false">IFERROR(AVERAGEIF(reviews_csv!$B$3:$B$16,A8,reviews_csv!$E$3:$E$16),"N/A")</f>
        <v>8.6</v>
      </c>
    </row>
    <row r="9" customFormat="false" ht="15" hidden="false" customHeight="false" outlineLevel="0" collapsed="false">
      <c r="A9" s="20" t="n">
        <f aca="false">films_csv!A9</f>
        <v>7</v>
      </c>
      <c r="B9" s="20" t="str">
        <f aca="false">films_csv!B9</f>
        <v>Joker</v>
      </c>
      <c r="C9" s="20" t="n">
        <f aca="false">films_csv!C9</f>
        <v>2019</v>
      </c>
      <c r="D9" s="20" t="str">
        <f aca="false">films_csv!D9</f>
        <v>Drama</v>
      </c>
      <c r="E9" s="20" t="str">
        <f aca="false">films_csv!E9</f>
        <v>Todd Phillips</v>
      </c>
      <c r="F9" s="20" t="n">
        <f aca="false">films_csv!F9</f>
        <v>8.4</v>
      </c>
      <c r="G9" s="20" t="n">
        <f aca="false">films_csv!G9</f>
        <v>55</v>
      </c>
      <c r="H9" s="20" t="n">
        <f aca="false">films_csv!H9</f>
        <v>1079</v>
      </c>
      <c r="I9" s="20" t="n">
        <f aca="false">H9-G9</f>
        <v>1024</v>
      </c>
      <c r="J9" s="21" t="n">
        <f aca="false">(H9-G9)/G9</f>
        <v>18.6181818181818</v>
      </c>
      <c r="K9" s="22" t="n">
        <f aca="false">IFERROR(AVERAGEIF(reviews_csv!$B$3:$B$16,A9,reviews_csv!$E$3:$E$16),"N/A")</f>
        <v>64</v>
      </c>
    </row>
    <row r="10" customFormat="false" ht="15" hidden="false" customHeight="false" outlineLevel="0" collapsed="false">
      <c r="A10" s="4" t="n">
        <f aca="false">films_csv!A10</f>
        <v>8</v>
      </c>
      <c r="B10" s="4" t="str">
        <f aca="false">films_csv!B10</f>
        <v>Black Panther</v>
      </c>
      <c r="C10" s="4" t="n">
        <f aca="false">films_csv!C10</f>
        <v>2018</v>
      </c>
      <c r="D10" s="4" t="str">
        <f aca="false">films_csv!D10</f>
        <v>Action</v>
      </c>
      <c r="E10" s="4" t="str">
        <f aca="false">films_csv!E10</f>
        <v>Ryan Coogler</v>
      </c>
      <c r="F10" s="4" t="n">
        <f aca="false">films_csv!F10</f>
        <v>7.3</v>
      </c>
      <c r="G10" s="4" t="n">
        <f aca="false">films_csv!G10</f>
        <v>200</v>
      </c>
      <c r="H10" s="4" t="n">
        <f aca="false">films_csv!H10</f>
        <v>1347</v>
      </c>
      <c r="I10" s="4" t="n">
        <f aca="false">H10-G10</f>
        <v>1147</v>
      </c>
      <c r="J10" s="10" t="n">
        <f aca="false">(H10-G10)/G10</f>
        <v>5.735</v>
      </c>
      <c r="K10" s="23" t="n">
        <f aca="false">IFERROR(AVERAGEIF(reviews_csv!$B$3:$B$16,A10,reviews_csv!$E$3:$E$16),"N/A")</f>
        <v>7.3</v>
      </c>
    </row>
    <row r="11" customFormat="false" ht="15" hidden="false" customHeight="false" outlineLevel="0" collapsed="false">
      <c r="A11" s="20" t="n">
        <f aca="false">films_csv!A11</f>
        <v>9</v>
      </c>
      <c r="B11" s="20" t="str">
        <f aca="false">films_csv!B11</f>
        <v>Get Out</v>
      </c>
      <c r="C11" s="20" t="n">
        <f aca="false">films_csv!C11</f>
        <v>2017</v>
      </c>
      <c r="D11" s="20" t="str">
        <f aca="false">films_csv!D11</f>
        <v>Horror</v>
      </c>
      <c r="E11" s="20" t="str">
        <f aca="false">films_csv!E11</f>
        <v>Jordan Peele</v>
      </c>
      <c r="F11" s="20" t="n">
        <f aca="false">films_csv!F11</f>
        <v>7.7</v>
      </c>
      <c r="G11" s="20" t="n">
        <f aca="false">films_csv!G11</f>
        <v>4.5</v>
      </c>
      <c r="H11" s="20" t="n">
        <f aca="false">films_csv!H11</f>
        <v>255</v>
      </c>
      <c r="I11" s="20" t="n">
        <f aca="false">H11-G11</f>
        <v>250.5</v>
      </c>
      <c r="J11" s="21" t="n">
        <f aca="false">(H11-G11)/G11</f>
        <v>55.6666666666667</v>
      </c>
      <c r="K11" s="22" t="n">
        <f aca="false">IFERROR(AVERAGEIF(reviews_csv!$B$3:$B$16,A11,reviews_csv!$E$3:$E$16),"N/A")</f>
        <v>98</v>
      </c>
    </row>
    <row r="12" customFormat="false" ht="15" hidden="false" customHeight="false" outlineLevel="0" collapsed="false">
      <c r="A12" s="4" t="n">
        <f aca="false">films_csv!A12</f>
        <v>10</v>
      </c>
      <c r="B12" s="4" t="str">
        <f aca="false">films_csv!B12</f>
        <v>Mad Max: Fury Road</v>
      </c>
      <c r="C12" s="4" t="n">
        <f aca="false">films_csv!C12</f>
        <v>2015</v>
      </c>
      <c r="D12" s="4" t="str">
        <f aca="false">films_csv!D12</f>
        <v>Action</v>
      </c>
      <c r="E12" s="4" t="str">
        <f aca="false">films_csv!E12</f>
        <v>George Miller</v>
      </c>
      <c r="F12" s="4" t="n">
        <f aca="false">films_csv!F12</f>
        <v>8.1</v>
      </c>
      <c r="G12" s="4" t="n">
        <f aca="false">films_csv!G12</f>
        <v>150</v>
      </c>
      <c r="H12" s="4" t="n">
        <f aca="false">films_csv!H12</f>
        <v>374</v>
      </c>
      <c r="I12" s="4" t="n">
        <f aca="false">H12-G12</f>
        <v>224</v>
      </c>
      <c r="J12" s="10" t="n">
        <f aca="false">(H12-G12)/G12</f>
        <v>1.49333333333333</v>
      </c>
      <c r="K12" s="23" t="n">
        <f aca="false">IFERROR(AVERAGEIF(reviews_csv!$B$3:$B$16,A12,reviews_csv!$E$3:$E$16),"N/A")</f>
        <v>8.1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P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5" min="4" style="0" width="10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2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10"/>
    <col collapsed="false" customWidth="true" hidden="false" outlineLevel="0" max="16" min="14" style="0" width="2"/>
  </cols>
  <sheetData>
    <row r="1" customFormat="false" ht="42" hidden="false" customHeight="true" outlineLevel="0" collapsed="false">
      <c r="A1" s="24" t="s">
        <v>68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customFormat="false" ht="19.5" hidden="false" customHeight="true" outlineLevel="0" collapsed="false">
      <c r="A2" s="25" t="s">
        <v>69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customFormat="false" ht="19.5" hidden="false" customHeight="true" outlineLevel="0" collapsed="false">
      <c r="A3" s="26" t="s">
        <v>70</v>
      </c>
      <c r="B3" s="26"/>
      <c r="C3" s="27" t="s">
        <v>71</v>
      </c>
      <c r="D3" s="27"/>
      <c r="E3" s="28" t="s">
        <v>72</v>
      </c>
      <c r="F3" s="28"/>
      <c r="G3" s="29" t="s">
        <v>73</v>
      </c>
      <c r="H3" s="29"/>
      <c r="I3" s="30" t="s">
        <v>74</v>
      </c>
      <c r="J3" s="30"/>
      <c r="K3" s="31" t="s">
        <v>75</v>
      </c>
      <c r="L3" s="31"/>
    </row>
    <row r="4" customFormat="false" ht="36" hidden="false" customHeight="true" outlineLevel="0" collapsed="false">
      <c r="A4" s="32" t="s">
        <v>76</v>
      </c>
      <c r="B4" s="32"/>
      <c r="C4" s="33" t="s">
        <v>77</v>
      </c>
      <c r="D4" s="33"/>
      <c r="E4" s="34" t="s">
        <v>78</v>
      </c>
      <c r="F4" s="34"/>
      <c r="G4" s="35" t="s">
        <v>79</v>
      </c>
      <c r="H4" s="35"/>
      <c r="I4" s="36" t="s">
        <v>80</v>
      </c>
      <c r="J4" s="36"/>
      <c r="K4" s="37" t="s">
        <v>81</v>
      </c>
      <c r="L4" s="37"/>
    </row>
    <row r="5" customFormat="false" ht="7.5" hidden="false" customHeight="true" outlineLevel="0" collapsed="false"/>
    <row r="6" customFormat="false" ht="21.75" hidden="false" customHeight="true" outlineLevel="0" collapsed="false">
      <c r="A6" s="38" t="s">
        <v>82</v>
      </c>
      <c r="B6" s="38"/>
      <c r="C6" s="38"/>
      <c r="D6" s="38"/>
      <c r="E6" s="38"/>
      <c r="F6" s="38"/>
      <c r="G6" s="38"/>
      <c r="I6" s="39" t="s">
        <v>83</v>
      </c>
      <c r="J6" s="39"/>
      <c r="K6" s="39"/>
      <c r="L6" s="39"/>
      <c r="M6" s="39"/>
    </row>
    <row r="7" customFormat="false" ht="21.75" hidden="false" customHeight="true" outlineLevel="0" collapsed="false">
      <c r="A7" s="40" t="s">
        <v>84</v>
      </c>
      <c r="B7" s="40" t="s">
        <v>2</v>
      </c>
      <c r="C7" s="40" t="s">
        <v>3</v>
      </c>
      <c r="D7" s="40" t="s">
        <v>4</v>
      </c>
      <c r="E7" s="40" t="s">
        <v>6</v>
      </c>
      <c r="F7" s="40" t="s">
        <v>8</v>
      </c>
      <c r="G7" s="40" t="s">
        <v>85</v>
      </c>
      <c r="I7" s="41" t="s">
        <v>4</v>
      </c>
      <c r="J7" s="41" t="s">
        <v>86</v>
      </c>
      <c r="K7" s="41" t="s">
        <v>87</v>
      </c>
      <c r="L7" s="41" t="s">
        <v>8</v>
      </c>
      <c r="M7" s="41" t="s">
        <v>88</v>
      </c>
    </row>
    <row r="8" customFormat="false" ht="15" hidden="false" customHeight="false" outlineLevel="0" collapsed="false">
      <c r="A8" s="42" t="n">
        <v>1</v>
      </c>
      <c r="B8" s="42" t="s">
        <v>17</v>
      </c>
      <c r="C8" s="42" t="n">
        <v>2019</v>
      </c>
      <c r="D8" s="42" t="s">
        <v>10</v>
      </c>
      <c r="E8" s="42" t="n">
        <v>8.4</v>
      </c>
      <c r="F8" s="42" t="n">
        <v>2798</v>
      </c>
      <c r="G8" s="42" t="s">
        <v>89</v>
      </c>
      <c r="I8" s="43" t="s">
        <v>10</v>
      </c>
      <c r="J8" s="43" t="n">
        <v>4</v>
      </c>
      <c r="K8" s="43" t="n">
        <v>8.2</v>
      </c>
      <c r="L8" s="43" t="n">
        <v>5524</v>
      </c>
      <c r="M8" s="43" t="s">
        <v>90</v>
      </c>
    </row>
    <row r="9" customFormat="false" ht="15" hidden="false" customHeight="false" outlineLevel="0" collapsed="false">
      <c r="A9" s="44" t="n">
        <v>2</v>
      </c>
      <c r="B9" s="44" t="s">
        <v>26</v>
      </c>
      <c r="C9" s="44" t="n">
        <v>2018</v>
      </c>
      <c r="D9" s="44" t="s">
        <v>10</v>
      </c>
      <c r="E9" s="44" t="n">
        <v>7.3</v>
      </c>
      <c r="F9" s="44" t="n">
        <v>1347</v>
      </c>
      <c r="G9" s="44" t="s">
        <v>91</v>
      </c>
      <c r="I9" s="44" t="s">
        <v>13</v>
      </c>
      <c r="J9" s="44" t="n">
        <v>2</v>
      </c>
      <c r="K9" s="44" t="n">
        <v>8.7</v>
      </c>
      <c r="L9" s="44" t="n">
        <v>1537</v>
      </c>
      <c r="M9" s="44" t="s">
        <v>92</v>
      </c>
    </row>
    <row r="10" customFormat="false" ht="15" hidden="false" customHeight="false" outlineLevel="0" collapsed="false">
      <c r="A10" s="42" t="n">
        <v>3</v>
      </c>
      <c r="B10" s="42" t="s">
        <v>23</v>
      </c>
      <c r="C10" s="42" t="n">
        <v>2019</v>
      </c>
      <c r="D10" s="42" t="s">
        <v>24</v>
      </c>
      <c r="E10" s="42" t="n">
        <v>8.4</v>
      </c>
      <c r="F10" s="42" t="n">
        <v>1079</v>
      </c>
      <c r="G10" s="42" t="s">
        <v>93</v>
      </c>
      <c r="I10" s="43" t="s">
        <v>24</v>
      </c>
      <c r="J10" s="43" t="n">
        <v>1</v>
      </c>
      <c r="K10" s="43" t="n">
        <v>8.4</v>
      </c>
      <c r="L10" s="43" t="n">
        <v>1079</v>
      </c>
      <c r="M10" s="43" t="s">
        <v>94</v>
      </c>
    </row>
    <row r="11" customFormat="false" ht="15" hidden="false" customHeight="false" outlineLevel="0" collapsed="false">
      <c r="A11" s="44" t="n">
        <v>4</v>
      </c>
      <c r="B11" s="44" t="s">
        <v>9</v>
      </c>
      <c r="C11" s="44" t="n">
        <v>2008</v>
      </c>
      <c r="D11" s="44" t="s">
        <v>10</v>
      </c>
      <c r="E11" s="44" t="n">
        <v>9</v>
      </c>
      <c r="F11" s="44" t="n">
        <v>1005</v>
      </c>
      <c r="G11" s="44" t="s">
        <v>95</v>
      </c>
      <c r="I11" s="44" t="s">
        <v>15</v>
      </c>
      <c r="J11" s="44" t="n">
        <v>1</v>
      </c>
      <c r="K11" s="44" t="n">
        <v>8.5</v>
      </c>
      <c r="L11" s="44" t="n">
        <v>258</v>
      </c>
      <c r="M11" s="44" t="s">
        <v>96</v>
      </c>
    </row>
    <row r="12" customFormat="false" ht="15" hidden="false" customHeight="false" outlineLevel="0" collapsed="false">
      <c r="A12" s="42" t="n">
        <v>5</v>
      </c>
      <c r="B12" s="42" t="s">
        <v>12</v>
      </c>
      <c r="C12" s="42" t="n">
        <v>2010</v>
      </c>
      <c r="D12" s="42" t="s">
        <v>13</v>
      </c>
      <c r="E12" s="42" t="n">
        <v>8.8</v>
      </c>
      <c r="F12" s="42" t="n">
        <v>836</v>
      </c>
      <c r="G12" s="42" t="s">
        <v>97</v>
      </c>
      <c r="I12" s="43" t="s">
        <v>29</v>
      </c>
      <c r="J12" s="43" t="n">
        <v>1</v>
      </c>
      <c r="K12" s="43" t="n">
        <v>7.7</v>
      </c>
      <c r="L12" s="43" t="n">
        <v>255</v>
      </c>
      <c r="M12" s="43" t="s">
        <v>96</v>
      </c>
    </row>
    <row r="13" customFormat="false" ht="15" hidden="false" customHeight="false" outlineLevel="0" collapsed="false">
      <c r="A13" s="44" t="n">
        <v>6</v>
      </c>
      <c r="B13" s="44" t="s">
        <v>22</v>
      </c>
      <c r="C13" s="44" t="n">
        <v>2014</v>
      </c>
      <c r="D13" s="44" t="s">
        <v>13</v>
      </c>
      <c r="E13" s="44" t="n">
        <v>8.6</v>
      </c>
      <c r="F13" s="44" t="n">
        <v>701</v>
      </c>
      <c r="G13" s="44" t="s">
        <v>98</v>
      </c>
      <c r="I13" s="44" t="s">
        <v>20</v>
      </c>
      <c r="J13" s="44" t="n">
        <v>1</v>
      </c>
      <c r="K13" s="44" t="n">
        <v>9.2</v>
      </c>
      <c r="L13" s="44" t="n">
        <v>245</v>
      </c>
      <c r="M13" s="44" t="s">
        <v>99</v>
      </c>
    </row>
    <row r="14" customFormat="false" ht="15" hidden="false" customHeight="false" outlineLevel="0" collapsed="false">
      <c r="A14" s="42" t="n">
        <v>7</v>
      </c>
      <c r="B14" s="42" t="s">
        <v>31</v>
      </c>
      <c r="C14" s="42" t="n">
        <v>2015</v>
      </c>
      <c r="D14" s="42" t="s">
        <v>10</v>
      </c>
      <c r="E14" s="42" t="n">
        <v>8.1</v>
      </c>
      <c r="F14" s="42" t="n">
        <v>374</v>
      </c>
      <c r="G14" s="42" t="s">
        <v>100</v>
      </c>
    </row>
    <row r="15" customFormat="false" ht="15" hidden="false" customHeight="false" outlineLevel="0" collapsed="false">
      <c r="A15" s="44" t="n">
        <v>8</v>
      </c>
      <c r="B15" s="44" t="s">
        <v>14</v>
      </c>
      <c r="C15" s="44" t="n">
        <v>2019</v>
      </c>
      <c r="D15" s="44" t="s">
        <v>15</v>
      </c>
      <c r="E15" s="44" t="n">
        <v>8.5</v>
      </c>
      <c r="F15" s="44" t="n">
        <v>258</v>
      </c>
      <c r="G15" s="44" t="s">
        <v>101</v>
      </c>
    </row>
    <row r="16" customFormat="false" ht="15" hidden="false" customHeight="false" outlineLevel="0" collapsed="false">
      <c r="A16" s="42" t="n">
        <v>9</v>
      </c>
      <c r="B16" s="42" t="s">
        <v>28</v>
      </c>
      <c r="C16" s="42" t="n">
        <v>2017</v>
      </c>
      <c r="D16" s="42" t="s">
        <v>29</v>
      </c>
      <c r="E16" s="42" t="n">
        <v>7.7</v>
      </c>
      <c r="F16" s="42" t="n">
        <v>255</v>
      </c>
      <c r="G16" s="42" t="s">
        <v>102</v>
      </c>
    </row>
    <row r="17" customFormat="false" ht="15" hidden="false" customHeight="false" outlineLevel="0" collapsed="false">
      <c r="A17" s="44" t="n">
        <v>10</v>
      </c>
      <c r="B17" s="44" t="s">
        <v>19</v>
      </c>
      <c r="C17" s="44" t="n">
        <v>1972</v>
      </c>
      <c r="D17" s="44" t="s">
        <v>20</v>
      </c>
      <c r="E17" s="44" t="n">
        <v>9.2</v>
      </c>
      <c r="F17" s="44" t="n">
        <v>245</v>
      </c>
      <c r="G17" s="44" t="s">
        <v>103</v>
      </c>
    </row>
  </sheetData>
  <mergeCells count="16">
    <mergeCell ref="A1:P1"/>
    <mergeCell ref="A2:P2"/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  <mergeCell ref="A6:G6"/>
    <mergeCell ref="I6:M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2026-03-02T10:20:34Z</dcterms:created>
  <dc:creator>openpyxl</dc:creator>
  <dc:description/>
  <dc:language>en-US</dc:language>
  <cp:lastModifiedBy/>
  <dcterms:modified xsi:type="dcterms:W3CDTF">2026-03-02T10:20:49Z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